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JULY" sheetId="2" state="visible" r:id="rId4"/>
    <sheet name="JULY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<sst xmlns="http://schemas.openxmlformats.org/spreadsheetml/2006/main" count="663" uniqueCount="222">
  <si>
    <t xml:space="preserve">HOUSE NO</t>
  </si>
  <si>
    <t xml:space="preserve">CONTACT</t>
  </si>
  <si>
    <t xml:space="preserve">RENT AMOUNT</t>
  </si>
  <si>
    <t xml:space="preserve">JUNE</t>
  </si>
  <si>
    <t xml:space="preserve">GATE A</t>
  </si>
  <si>
    <t xml:space="preserve">AMOUNT PAID</t>
  </si>
  <si>
    <t xml:space="preserve">REF/REMARKS</t>
  </si>
  <si>
    <t xml:space="preserve">ROSE NJAMUMO</t>
  </si>
  <si>
    <t xml:space="preserve">0727825412</t>
  </si>
  <si>
    <t xml:space="preserve">WANJIKU PHYLIS</t>
  </si>
  <si>
    <t xml:space="preserve">0799535692</t>
  </si>
  <si>
    <t xml:space="preserve">NICHOLAS MAKONA</t>
  </si>
  <si>
    <t xml:space="preserve">0720233967</t>
  </si>
  <si>
    <t xml:space="preserve">EMMERLYN RIMBA MBOOZA</t>
  </si>
  <si>
    <t xml:space="preserve">0721915917</t>
  </si>
  <si>
    <t xml:space="preserve">SUSAN WACEKE WANJIKU</t>
  </si>
  <si>
    <t xml:space="preserve">0720870219</t>
  </si>
  <si>
    <t xml:space="preserve">CAROLINE ENDESIA MULUSA/ STANLEY ANYUMBA</t>
  </si>
  <si>
    <t xml:space="preserve">0748882667</t>
  </si>
  <si>
    <t xml:space="preserve">MAGGY MBULA MAMUU</t>
  </si>
  <si>
    <t xml:space="preserve">0723661727</t>
  </si>
  <si>
    <t xml:space="preserve">BRIAN KINUTHIA NJENGA</t>
  </si>
  <si>
    <t xml:space="preserve">0714220519</t>
  </si>
  <si>
    <t xml:space="preserve">JOSEPHINE KERUBO ONCHWARI</t>
  </si>
  <si>
    <t xml:space="preserve">NICKSON KETOYO</t>
  </si>
  <si>
    <t xml:space="preserve">MOUREEN MUKWE                                                         </t>
  </si>
  <si>
    <t xml:space="preserve">KAMAU</t>
  </si>
  <si>
    <t xml:space="preserve">LOISE N. NYAGA/ ALEX WAMALWA</t>
  </si>
  <si>
    <t xml:space="preserve">0712214790</t>
  </si>
  <si>
    <t xml:space="preserve">BENSON K. KARIHE</t>
  </si>
  <si>
    <t xml:space="preserve">0729631790</t>
  </si>
  <si>
    <t xml:space="preserve">OLIVER JEMO/ NANCY OKIRU</t>
  </si>
  <si>
    <t xml:space="preserve">0792857301</t>
  </si>
  <si>
    <t xml:space="preserve">CECILIA MATERE  NAMAEMBA</t>
  </si>
  <si>
    <t xml:space="preserve">0705838169</t>
  </si>
  <si>
    <t xml:space="preserve">ELIAS MWANGI MUKONO</t>
  </si>
  <si>
    <t xml:space="preserve">0726914924</t>
  </si>
  <si>
    <t xml:space="preserve">BONIFACE NJOROGE</t>
  </si>
  <si>
    <t xml:space="preserve">0112676585</t>
  </si>
  <si>
    <t xml:space="preserve">PURITY NANJALA NAFUNA</t>
  </si>
  <si>
    <t xml:space="preserve">0746592131</t>
  </si>
  <si>
    <t xml:space="preserve">PATEL JACKSON MAOBE</t>
  </si>
  <si>
    <t xml:space="preserve">0792146213</t>
  </si>
  <si>
    <t xml:space="preserve">MARY WACHERA</t>
  </si>
  <si>
    <t xml:space="preserve">0727098392</t>
  </si>
  <si>
    <t xml:space="preserve">JACKLYNE KAGENYI</t>
  </si>
  <si>
    <t xml:space="preserve">0704598971</t>
  </si>
  <si>
    <t xml:space="preserve">LUCY A. OKOLLA</t>
  </si>
  <si>
    <t xml:space="preserve">0710744331</t>
  </si>
  <si>
    <t xml:space="preserve">RAHAB NYAMBURA NJOROGE/ PETER KAMAU</t>
  </si>
  <si>
    <t xml:space="preserve">0717502558</t>
  </si>
  <si>
    <t xml:space="preserve">BRIAN ONGWENA</t>
  </si>
  <si>
    <t xml:space="preserve">0713671407</t>
  </si>
  <si>
    <t xml:space="preserve">WILSON MUNNA</t>
  </si>
  <si>
    <t xml:space="preserve">0702440205</t>
  </si>
  <si>
    <t xml:space="preserve">CLEMENT MALIK</t>
  </si>
  <si>
    <t xml:space="preserve">0725818744</t>
  </si>
  <si>
    <t xml:space="preserve">DENIS MWENDA MUCHAI</t>
  </si>
  <si>
    <t xml:space="preserve">0711831709</t>
  </si>
  <si>
    <t xml:space="preserve">EMMERLYN SWACHI</t>
  </si>
  <si>
    <t xml:space="preserve">0745151514</t>
  </si>
  <si>
    <t xml:space="preserve">CAROLINE NJERI NJOROGE</t>
  </si>
  <si>
    <t xml:space="preserve">0720873861</t>
  </si>
  <si>
    <t xml:space="preserve">TOTAL</t>
  </si>
  <si>
    <t xml:space="preserve">GATE B</t>
  </si>
  <si>
    <t xml:space="preserve">FREDRICK MABUSIO PHEMINAH/graville</t>
  </si>
  <si>
    <t xml:space="preserve">0740103245</t>
  </si>
  <si>
    <t xml:space="preserve">GORETTY ACHIENG' ODUNDO</t>
  </si>
  <si>
    <t xml:space="preserve">0702732621</t>
  </si>
  <si>
    <t xml:space="preserve">ELLY PCHUMBA</t>
  </si>
  <si>
    <t xml:space="preserve">0106468556</t>
  </si>
  <si>
    <t xml:space="preserve">HEZBON KHANDA BWIRE</t>
  </si>
  <si>
    <t xml:space="preserve">0706025442</t>
  </si>
  <si>
    <t xml:space="preserve">MARY</t>
  </si>
  <si>
    <t xml:space="preserve">0717159959</t>
  </si>
  <si>
    <t xml:space="preserve">MARGRET SHITANDA</t>
  </si>
  <si>
    <t xml:space="preserve">JULIANA </t>
  </si>
  <si>
    <t xml:space="preserve">KALLEN RWAMBA</t>
  </si>
  <si>
    <t xml:space="preserve">0724660787</t>
  </si>
  <si>
    <t xml:space="preserve">PETER MWANGI WAIRIMU</t>
  </si>
  <si>
    <t xml:space="preserve">0727331755</t>
  </si>
  <si>
    <t xml:space="preserve">GATE C</t>
  </si>
  <si>
    <t xml:space="preserve">DOMNIC AMBILA</t>
  </si>
  <si>
    <t xml:space="preserve">0791447502</t>
  </si>
  <si>
    <t xml:space="preserve">WANJIRU N. LUGANA/ LUCY WANGAI</t>
  </si>
  <si>
    <t xml:space="preserve">0781046082</t>
  </si>
  <si>
    <t xml:space="preserve">SARAH</t>
  </si>
  <si>
    <t xml:space="preserve">0705143701</t>
  </si>
  <si>
    <t xml:space="preserve">TITUS NDAMBUKI MUNYAO</t>
  </si>
  <si>
    <t xml:space="preserve">0790622428</t>
  </si>
  <si>
    <t xml:space="preserve">PURITY WANJIKU </t>
  </si>
  <si>
    <t xml:space="preserve">0715332248</t>
  </si>
  <si>
    <t xml:space="preserve">MBARAKA NGEMA </t>
  </si>
  <si>
    <t xml:space="preserve">0712839053</t>
  </si>
  <si>
    <t xml:space="preserve">HARUN IRUNGU MAINA/ OMBURA</t>
  </si>
  <si>
    <t xml:space="preserve">0720772142</t>
  </si>
  <si>
    <t xml:space="preserve">ZIPPORAH</t>
  </si>
  <si>
    <t xml:space="preserve">'0115308150</t>
  </si>
  <si>
    <t xml:space="preserve">GATE D</t>
  </si>
  <si>
    <t xml:space="preserve">LEVY AMUKANGU</t>
  </si>
  <si>
    <t xml:space="preserve">0707058630</t>
  </si>
  <si>
    <t xml:space="preserve">MARY MACHARIA</t>
  </si>
  <si>
    <t xml:space="preserve">0742130916</t>
  </si>
  <si>
    <t xml:space="preserve">JOHN MACHARIA WAIRIMU</t>
  </si>
  <si>
    <t xml:space="preserve">0111256883</t>
  </si>
  <si>
    <t xml:space="preserve">HUDSON VULUKU</t>
  </si>
  <si>
    <t xml:space="preserve">0728360602</t>
  </si>
  <si>
    <t xml:space="preserve">CHRISTINE MUTHONI KARIMI</t>
  </si>
  <si>
    <t xml:space="preserve">0728816114</t>
  </si>
  <si>
    <t xml:space="preserve">SILAS EMWENE</t>
  </si>
  <si>
    <t xml:space="preserve">0722846543</t>
  </si>
  <si>
    <t xml:space="preserve">FRASIAH NJERU ncba</t>
  </si>
  <si>
    <t xml:space="preserve">0742194883</t>
  </si>
  <si>
    <t xml:space="preserve">GEORGINA MWENDWA</t>
  </si>
  <si>
    <t xml:space="preserve">0723699697</t>
  </si>
  <si>
    <t xml:space="preserve">JOHN DIANG'A</t>
  </si>
  <si>
    <t xml:space="preserve">0710142054</t>
  </si>
  <si>
    <t xml:space="preserve">JOHN MALINGA</t>
  </si>
  <si>
    <t xml:space="preserve">0707635581</t>
  </si>
  <si>
    <t xml:space="preserve">KEVIN WAFULA MAYENDE</t>
  </si>
  <si>
    <t xml:space="preserve">0710856127</t>
  </si>
  <si>
    <t xml:space="preserve">NAOMI NDINDA MUNYAO</t>
  </si>
  <si>
    <t xml:space="preserve">0723402172</t>
  </si>
  <si>
    <t xml:space="preserve">DENIS K. MACHARIA </t>
  </si>
  <si>
    <t xml:space="preserve">0720005192</t>
  </si>
  <si>
    <t xml:space="preserve">CATHERINE WANJIKU</t>
  </si>
  <si>
    <t xml:space="preserve">0759804235</t>
  </si>
  <si>
    <t xml:space="preserve">SOSPETER ONYIENG’ OSIEMO</t>
  </si>
  <si>
    <t xml:space="preserve">0715642434</t>
  </si>
  <si>
    <t xml:space="preserve">                                                                          -  </t>
  </si>
  <si>
    <t xml:space="preserve">CHARLES KIHUZO/PATRICIA MBULA MWAKA</t>
  </si>
  <si>
    <t xml:space="preserve">0708700194</t>
  </si>
  <si>
    <t xml:space="preserve">LINET KERUBO</t>
  </si>
  <si>
    <t xml:space="preserve">0707200002</t>
  </si>
  <si>
    <t xml:space="preserve">MILDRED OKULA</t>
  </si>
  <si>
    <t xml:space="preserve">0726209080</t>
  </si>
  <si>
    <t xml:space="preserve">RISPER MWELE</t>
  </si>
  <si>
    <t xml:space="preserve">0722380861</t>
  </si>
  <si>
    <t xml:space="preserve">ERICK ARAMBO</t>
  </si>
  <si>
    <t xml:space="preserve">0719758348</t>
  </si>
  <si>
    <t xml:space="preserve">KEPKEMBOI/REBEKAH</t>
  </si>
  <si>
    <t xml:space="preserve">0733843858</t>
  </si>
  <si>
    <t xml:space="preserve">GATE F</t>
  </si>
  <si>
    <t xml:space="preserve">ELIZABETH GWARO</t>
  </si>
  <si>
    <t xml:space="preserve">0745742668</t>
  </si>
  <si>
    <t xml:space="preserve">SARAH MBEVI</t>
  </si>
  <si>
    <t xml:space="preserve">0721716292</t>
  </si>
  <si>
    <t xml:space="preserve">CINDY WANGECHI</t>
  </si>
  <si>
    <t xml:space="preserve">0721966071</t>
  </si>
  <si>
    <t xml:space="preserve">LARRY BURUKU ASEGE</t>
  </si>
  <si>
    <t xml:space="preserve">0795605702</t>
  </si>
  <si>
    <t xml:space="preserve">STEPHINE                                                                                                     </t>
  </si>
  <si>
    <t xml:space="preserve">ROSE</t>
  </si>
  <si>
    <t xml:space="preserve">CAROLINE WANJA KINGORI</t>
  </si>
  <si>
    <t xml:space="preserve">0708287903</t>
  </si>
  <si>
    <t xml:space="preserve">STEPHEN KILONZO</t>
  </si>
  <si>
    <t xml:space="preserve">0711455423</t>
  </si>
  <si>
    <t xml:space="preserve">ELIZABETH N MANDALI</t>
  </si>
  <si>
    <t xml:space="preserve">0727798110</t>
  </si>
  <si>
    <t xml:space="preserve">ANNASTASIA KITHU</t>
  </si>
  <si>
    <t xml:space="preserve">0727850850</t>
  </si>
  <si>
    <t xml:space="preserve">FLORENCE                                                                                                                                                                                           </t>
  </si>
  <si>
    <t xml:space="preserve">ALICE APIYO ADANG</t>
  </si>
  <si>
    <t xml:space="preserve">0726458226</t>
  </si>
  <si>
    <t xml:space="preserve">JANE WANYIRI</t>
  </si>
  <si>
    <t xml:space="preserve">0726692876</t>
  </si>
  <si>
    <t xml:space="preserve">FLORENCE OTIENO</t>
  </si>
  <si>
    <t xml:space="preserve">0798816949</t>
  </si>
  <si>
    <t xml:space="preserve">GATE G</t>
  </si>
  <si>
    <t xml:space="preserve">BEATRICE M. MUTUGI</t>
  </si>
  <si>
    <t xml:space="preserve">0720548149</t>
  </si>
  <si>
    <t xml:space="preserve">DENNIS ODUOR OTIENO</t>
  </si>
  <si>
    <t xml:space="preserve">0796018005</t>
  </si>
  <si>
    <t xml:space="preserve">SAMUEL ONUKO MAKORI</t>
  </si>
  <si>
    <t xml:space="preserve">0794741344</t>
  </si>
  <si>
    <t xml:space="preserve">EUGENE MUGEYWA</t>
  </si>
  <si>
    <t xml:space="preserve">0703449350</t>
  </si>
  <si>
    <t xml:space="preserve">DOUGLAS DUKE</t>
  </si>
  <si>
    <t xml:space="preserve">0719546438</t>
  </si>
  <si>
    <t xml:space="preserve">MOUREEN ODHIAMBO</t>
  </si>
  <si>
    <t xml:space="preserve">0716088054</t>
  </si>
  <si>
    <t xml:space="preserve">KHAEMBA</t>
  </si>
  <si>
    <t xml:space="preserve">0793619846</t>
  </si>
  <si>
    <t xml:space="preserve">FELISTUS </t>
  </si>
  <si>
    <t xml:space="preserve">0748183620</t>
  </si>
  <si>
    <t xml:space="preserve">MAKAU                                                                                                           </t>
  </si>
  <si>
    <t xml:space="preserve">NOAH OSIGO AHAGO</t>
  </si>
  <si>
    <t xml:space="preserve">0799217568</t>
  </si>
  <si>
    <t xml:space="preserve">LIVINGSTONE MWAKIO</t>
  </si>
  <si>
    <t xml:space="preserve">0720486966</t>
  </si>
  <si>
    <t xml:space="preserve">EMILY AKOTH</t>
  </si>
  <si>
    <t xml:space="preserve">0742951292</t>
  </si>
  <si>
    <t xml:space="preserve">FRANCIS NGUGI</t>
  </si>
  <si>
    <t xml:space="preserve">0726565060</t>
  </si>
  <si>
    <t xml:space="preserve">MURIUKI MBAABU</t>
  </si>
  <si>
    <t xml:space="preserve">0716482914</t>
  </si>
  <si>
    <t xml:space="preserve">paid to Monica</t>
  </si>
  <si>
    <t xml:space="preserve">ERICK</t>
  </si>
  <si>
    <t xml:space="preserve">0791486663</t>
  </si>
  <si>
    <t xml:space="preserve">LEVI TANUI</t>
  </si>
  <si>
    <t xml:space="preserve">0740946452</t>
  </si>
  <si>
    <t xml:space="preserve">MAGDALINE WANJIRU KANYARATI</t>
  </si>
  <si>
    <t xml:space="preserve">0729459255</t>
  </si>
  <si>
    <t xml:space="preserve">KENNETH MUTHURI</t>
  </si>
  <si>
    <t xml:space="preserve">0722833855</t>
  </si>
  <si>
    <t xml:space="preserve">MARGARET NJERI</t>
  </si>
  <si>
    <t xml:space="preserve">0701897177</t>
  </si>
  <si>
    <t xml:space="preserve">MAUREEN OWINO</t>
  </si>
  <si>
    <t xml:space="preserve">0701229868</t>
  </si>
  <si>
    <t xml:space="preserve">TABITHA NJOROGE</t>
  </si>
  <si>
    <t xml:space="preserve">0743970984</t>
  </si>
  <si>
    <t xml:space="preserve">GROSS TOTAL</t>
  </si>
  <si>
    <t xml:space="preserve">MGMT COMM 5%</t>
  </si>
  <si>
    <t xml:space="preserve">LANDLADY PAYABLE</t>
  </si>
  <si>
    <t xml:space="preserve">JULY</t>
  </si>
  <si>
    <t xml:space="preserve">james</t>
  </si>
  <si>
    <t xml:space="preserve">MARTIN</t>
  </si>
  <si>
    <t xml:space="preserve">‘0112676585</t>
  </si>
  <si>
    <t xml:space="preserve">BAL 3500</t>
  </si>
  <si>
    <t xml:space="preserve">BAL 1000</t>
  </si>
  <si>
    <t xml:space="preserve">NO TEXT YET</t>
  </si>
  <si>
    <t xml:space="preserve">PHOEBE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</si>
</sst>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#,##0.00"/>
    <numFmt numFmtId="167" formatCode="#,##0"/>
  </numFmts>
  <fonts count="2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Georgia"/>
      <family val="1"/>
      <charset val="1"/>
    </font>
    <font>
      <b val="true"/>
      <sz val="10.5"/>
      <name val="Georgia"/>
      <family val="1"/>
      <charset val="1"/>
    </font>
    <font>
      <b val="true"/>
      <u val="single"/>
      <sz val="10.5"/>
      <color rgb="FF000000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b val="true"/>
      <u val="single"/>
      <sz val="10.5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sz val="10.5"/>
      <color theme="1"/>
      <name val="Georgia"/>
      <family val="1"/>
      <charset val="1"/>
    </font>
    <font>
      <sz val="14"/>
      <name val="Georgia"/>
      <family val="1"/>
      <charset val="1"/>
    </font>
    <font>
      <b val="true"/>
      <sz val="11"/>
      <name val="Times New Roman"/>
      <family val="1"/>
      <charset val="1"/>
    </font>
    <font>
      <b val="true"/>
      <sz val="14"/>
      <color rgb="FF000000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0"/>
      <color rgb="FF000000"/>
      <name val="Arial"/>
      <family val="2"/>
      <charset val="1"/>
    </font>
    <font>
      <b val="true"/>
      <u val="single"/>
      <sz val="12"/>
      <name val="Georgia"/>
      <family val="1"/>
      <charset val="1"/>
    </font>
    <font>
      <b val="true"/>
      <sz val="10"/>
      <name val="Arial"/>
      <family val="2"/>
      <charset val="1"/>
    </font>
    <font>
      <b val="true"/>
      <u val="single"/>
      <sz val="12"/>
      <name val="Georgia"/>
      <family val="1"/>
    </font>
    <font>
      <b val="true"/>
      <u val="single"/>
      <sz val="12"/>
      <color rgb="FF000000"/>
      <name val="Georgia"/>
      <family val="1"/>
    </font>
    <font>
      <b val="true"/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BF00"/>
        <bgColor rgb="FFFFC000"/>
      </patternFill>
    </fill>
    <fill>
      <patternFill patternType="solid">
        <fgColor rgb="FF00A933"/>
        <bgColor rgb="FF228B22"/>
      </patternFill>
    </fill>
    <fill>
      <patternFill patternType="solid">
        <fgColor rgb="FFEC9BA4"/>
        <bgColor rgb="FFFF8080"/>
      </patternFill>
    </fill>
    <fill>
      <patternFill patternType="solid">
        <fgColor rgb="FFFFC000"/>
        <bgColor rgb="FFFFBF00"/>
      </patternFill>
    </fill>
    <fill>
      <patternFill patternType="solid">
        <fgColor rgb="FFB3CAC7"/>
        <bgColor rgb="FF99CCF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3" tint="0.8999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E5E5E5"/>
      </patternFill>
    </fill>
    <fill>
      <patternFill patternType="solid">
        <fgColor rgb="FF228B22"/>
        <bgColor rgb="FF00A93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EC9BA4"/>
      <rgbColor rgb="FFCC99FF"/>
      <rgbColor rgb="FFFFCC99"/>
      <rgbColor rgb="FF3366FF"/>
      <rgbColor rgb="FF33CCCC"/>
      <rgbColor rgb="FF81D41A"/>
      <rgbColor rgb="FFFFC000"/>
      <rgbColor rgb="FFFFBF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76" colorId="64" zoomScale="120" zoomScaleNormal="120" zoomScalePageLayoutView="100" workbookViewId="0">
      <selection pane="topLeft" activeCell="B100" activeCellId="0" sqref="B100"/>
    </sheetView>
  </sheetViews>
  <sheetFormatPr defaultColWidth="11.5625" defaultRowHeight="12.75" customHeight="true" zeroHeight="false" outlineLevelRow="0" outlineLevelCol="0"/>
  <cols>
    <col collapsed="false" customWidth="false" hidden="false" outlineLevel="0" max="1" min="1" style="1" width="11.56"/>
    <col collapsed="false" customWidth="true" hidden="false" outlineLevel="0" max="2" min="2" style="1" width="65.88"/>
    <col collapsed="false" customWidth="true" hidden="false" outlineLevel="0" max="3" min="3" style="1" width="23.22"/>
    <col collapsed="false" customWidth="true" hidden="false" outlineLevel="0" max="4" min="4" style="1" width="17.67"/>
    <col collapsed="false" customWidth="true" hidden="false" outlineLevel="0" max="5" min="5" style="1" width="15"/>
    <col collapsed="false" customWidth="true" hidden="false" outlineLevel="0" max="6" min="6" style="1" width="16.67"/>
    <col collapsed="false" customWidth="true" hidden="false" outlineLevel="0" max="7" min="7" style="1" width="14.56"/>
    <col collapsed="false" customWidth="true" hidden="false" outlineLevel="0" max="8" min="8" style="1" width="16.44"/>
    <col collapsed="false" customWidth="true" hidden="false" outlineLevel="0" max="9" min="9" style="1" width="14.33"/>
    <col collapsed="false" customWidth="true" hidden="false" outlineLevel="0" max="10" min="10" style="1" width="16.33"/>
    <col collapsed="false" customWidth="true" hidden="false" outlineLevel="0" max="11" min="11" style="1" width="14.79"/>
    <col collapsed="false" customWidth="true" hidden="false" outlineLevel="0" max="12" min="12" style="1" width="16.33"/>
    <col collapsed="false" customWidth="true" hidden="false" outlineLevel="0" max="13" min="13" style="1" width="15.33"/>
    <col collapsed="false" customWidth="true" hidden="false" outlineLevel="0" max="14" min="14" style="1" width="16.22"/>
    <col collapsed="false" customWidth="true" hidden="false" outlineLevel="0" max="15" min="15" style="1" width="14.33"/>
    <col collapsed="false" customWidth="true" hidden="false" outlineLevel="0" max="16" min="16" style="1" width="16"/>
    <col collapsed="false" customWidth="true" hidden="false" outlineLevel="0" max="17" min="17" style="1" width="14.11"/>
    <col collapsed="false" customWidth="true" hidden="false" outlineLevel="0" max="18" min="18" style="1" width="15.88"/>
    <col collapsed="false" customWidth="false" hidden="false" outlineLevel="0" max="16384" min="19" style="1" width="11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customFormat="false" ht="13.2" hidden="false" customHeight="false" outlineLevel="0" collapsed="false">
      <c r="B2" s="7" t="s">
        <v>4</v>
      </c>
      <c r="E2" s="8" t="s">
        <v>5</v>
      </c>
      <c r="F2" s="8" t="s">
        <v>6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 t="n">
        <v>5000</v>
      </c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19" t="n">
        <v>5000</v>
      </c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37</v>
      </c>
      <c r="C21" s="11" t="s">
        <v>38</v>
      </c>
      <c r="D21" s="12" t="n">
        <v>5000</v>
      </c>
      <c r="E21" s="20" t="n">
        <v>5000</v>
      </c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32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</row>
    <row r="35" customFormat="false" ht="13.2" hidden="false" customHeight="false" outlineLevel="0" collapsed="false">
      <c r="B35" s="33" t="s">
        <v>63</v>
      </c>
      <c r="D35" s="34" t="n">
        <f aca="false">SUM(D3:D34)</f>
        <v>173500</v>
      </c>
      <c r="E35" s="34" t="n">
        <f aca="false">SUM(E3:E34)</f>
        <v>173500</v>
      </c>
    </row>
    <row r="37" customFormat="false" ht="13.2" hidden="false" customHeight="false" outlineLevel="0" collapsed="false">
      <c r="B37" s="35" t="s">
        <v>64</v>
      </c>
      <c r="C37" s="36"/>
      <c r="D37" s="37"/>
      <c r="E37" s="13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 t="n">
        <v>5000</v>
      </c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 t="n">
        <v>5000</v>
      </c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 t="n">
        <f aca="false">SUM(E38:E46)</f>
        <v>48500</v>
      </c>
    </row>
    <row r="48" customFormat="false" ht="13.2" hidden="false" customHeight="false" outlineLevel="0" collapsed="false">
      <c r="A48" s="9"/>
      <c r="B48" s="10"/>
      <c r="C48" s="11"/>
      <c r="D48" s="12"/>
      <c r="E48" s="20"/>
    </row>
    <row r="49" customFormat="false" ht="13.2" hidden="false" customHeight="false" outlineLevel="0" collapsed="false">
      <c r="A49" s="23"/>
      <c r="B49" s="10"/>
      <c r="C49" s="11"/>
      <c r="D49" s="12"/>
      <c r="E49" s="20"/>
    </row>
    <row r="52" customFormat="false" ht="13.2" hidden="false" customHeight="false" outlineLevel="0" collapsed="false">
      <c r="B52" s="35" t="s">
        <v>81</v>
      </c>
      <c r="C52" s="36"/>
      <c r="D52" s="37"/>
      <c r="E52" s="13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 t="n">
        <v>5000</v>
      </c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 t="n">
        <v>5000</v>
      </c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8500</v>
      </c>
    </row>
    <row r="61" customFormat="false" ht="13.2" hidden="false" customHeight="false" outlineLevel="0" collapsed="false">
      <c r="B61" s="33" t="s">
        <v>63</v>
      </c>
      <c r="D61" s="50" t="n">
        <f aca="false">SUM(D53:D60)</f>
        <v>47000</v>
      </c>
      <c r="E61" s="50" t="n">
        <f aca="false">SUM(E53:E60)</f>
        <v>47000</v>
      </c>
    </row>
    <row r="64" customFormat="false" ht="13.2" hidden="false" customHeight="false" outlineLevel="0" collapsed="false">
      <c r="B64" s="35" t="s">
        <v>98</v>
      </c>
      <c r="C64" s="36"/>
      <c r="D64" s="37"/>
      <c r="E64" s="13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 t="n">
        <v>5000</v>
      </c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 t="n">
        <v>5000</v>
      </c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</row>
    <row r="79" customFormat="false" ht="13.2" hidden="false" customHeight="false" outlineLevel="0" collapsed="false">
      <c r="A79" s="23" t="n">
        <v>15</v>
      </c>
      <c r="B79" s="24" t="s">
        <v>127</v>
      </c>
      <c r="C79" s="25" t="s">
        <v>128</v>
      </c>
      <c r="D79" s="26" t="n">
        <v>5000</v>
      </c>
      <c r="E79" s="27" t="n">
        <v>5000</v>
      </c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13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</row>
    <row r="87" customFormat="false" ht="13.2" hidden="false" customHeight="false" outlineLevel="0" collapsed="false">
      <c r="B87" s="33" t="s">
        <v>63</v>
      </c>
      <c r="D87" s="51" t="n">
        <f aca="false">SUM(D65:D86)</f>
        <v>112000</v>
      </c>
      <c r="E87" s="51" t="n">
        <f aca="false">SUM(E65:E86)</f>
        <v>112000</v>
      </c>
    </row>
    <row r="90" customFormat="false" ht="13.2" hidden="false" customHeight="false" outlineLevel="0" collapsed="false">
      <c r="B90" s="52" t="s">
        <v>142</v>
      </c>
      <c r="C90" s="36"/>
      <c r="D90" s="37"/>
      <c r="E90" s="13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11000</v>
      </c>
      <c r="E91" s="20" t="n">
        <v>11000</v>
      </c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11000</v>
      </c>
      <c r="E102" s="14" t="n">
        <v>10000</v>
      </c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</row>
    <row r="105" customFormat="false" ht="13.2" hidden="false" customHeight="false" outlineLevel="0" collapsed="false">
      <c r="B105" s="50" t="s">
        <v>63</v>
      </c>
      <c r="D105" s="51" t="n">
        <f aca="false">SUM(D91:D104)</f>
        <v>156000</v>
      </c>
      <c r="E105" s="51" t="n">
        <f aca="false">SUM(E91:E104)</f>
        <v>155000</v>
      </c>
    </row>
    <row r="109" customFormat="false" ht="13.2" hidden="false" customHeight="false" outlineLevel="0" collapsed="false">
      <c r="B109" s="35" t="s">
        <v>168</v>
      </c>
      <c r="C109" s="36"/>
      <c r="D109" s="37"/>
      <c r="E109" s="13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 t="n">
        <v>11000</v>
      </c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 t="s">
        <v>196</v>
      </c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 t="n">
        <v>11000</v>
      </c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</row>
    <row r="131" customFormat="false" ht="13.2" hidden="false" customHeight="false" outlineLevel="0" collapsed="false">
      <c r="B131" s="47" t="s">
        <v>63</v>
      </c>
      <c r="C131" s="11"/>
      <c r="D131" s="56" t="n">
        <f aca="false">SUM(D110:D130)</f>
        <v>245000</v>
      </c>
      <c r="E131" s="57" t="n">
        <f aca="false">SUM(E110:E130)</f>
        <v>245000</v>
      </c>
    </row>
    <row r="133" customFormat="false" ht="17.35" hidden="false" customHeight="false" outlineLevel="0" collapsed="false">
      <c r="D133" s="58"/>
      <c r="E133" s="58"/>
      <c r="F133" s="58"/>
    </row>
    <row r="134" customFormat="false" ht="17.35" hidden="false" customHeight="false" outlineLevel="0" collapsed="false">
      <c r="C134" s="59" t="s">
        <v>211</v>
      </c>
      <c r="D134" s="60" t="n">
        <v>713500</v>
      </c>
      <c r="E134" s="60" t="n">
        <v>781000</v>
      </c>
      <c r="F134" s="61"/>
    </row>
    <row r="135" customFormat="false" ht="17.35" hidden="false" customHeight="false" outlineLevel="0" collapsed="false">
      <c r="C135" s="59"/>
      <c r="D135" s="61"/>
      <c r="E135" s="61"/>
      <c r="F135" s="61"/>
    </row>
    <row r="136" customFormat="false" ht="17.35" hidden="false" customHeight="false" outlineLevel="0" collapsed="false">
      <c r="C136" s="59" t="s">
        <v>212</v>
      </c>
      <c r="D136" s="60" t="n">
        <v>35675</v>
      </c>
      <c r="E136" s="60" t="n">
        <v>39050</v>
      </c>
      <c r="F136" s="61"/>
    </row>
    <row r="137" customFormat="false" ht="17.35" hidden="false" customHeight="false" outlineLevel="0" collapsed="false">
      <c r="C137" s="59"/>
      <c r="D137" s="61"/>
      <c r="E137" s="61"/>
      <c r="F137" s="61"/>
    </row>
    <row r="138" customFormat="false" ht="17.35" hidden="false" customHeight="false" outlineLevel="0" collapsed="false">
      <c r="C138" s="59" t="s">
        <v>213</v>
      </c>
      <c r="D138" s="60" t="n">
        <v>677825</v>
      </c>
      <c r="E138" s="60" t="n">
        <v>741950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103" colorId="64" zoomScale="120" zoomScaleNormal="120" zoomScalePageLayoutView="100" workbookViewId="0">
      <selection pane="topLeft" activeCell="D138" activeCellId="0" sqref="D138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53.21"/>
    <col collapsed="false" customWidth="true" hidden="false" outlineLevel="0" max="3" min="3" style="62" width="22.67"/>
    <col collapsed="false" customWidth="true" hidden="false" outlineLevel="0" max="4" min="4" style="62" width="24.88"/>
    <col collapsed="false" customWidth="true" hidden="false" outlineLevel="0" max="5" min="5" style="62" width="19.88"/>
    <col collapsed="false" customWidth="true" hidden="false" outlineLevel="0" max="6" min="6" style="62" width="23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/>
      <c r="F4" s="1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/>
      <c r="F11" s="2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customFormat="false" ht="13.2" hidden="false" customHeight="false" outlineLevel="0" collapsed="false">
      <c r="A17" s="15" t="n">
        <v>15</v>
      </c>
      <c r="B17" s="16" t="s">
        <v>215</v>
      </c>
      <c r="C17" s="17"/>
      <c r="D17" s="18" t="n">
        <v>5000</v>
      </c>
      <c r="E17" s="19" t="n">
        <v>5000</v>
      </c>
      <c r="F17" s="1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20" t="n">
        <v>1500</v>
      </c>
      <c r="F21" s="20" t="s">
        <v>218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/>
      <c r="F22" s="1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/>
      <c r="F32" s="27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20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3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3.2" hidden="false" customHeight="false" outlineLevel="0" collapsed="false">
      <c r="A36" s="1"/>
      <c r="B36" s="1"/>
      <c r="C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3.2" hidden="false" customHeight="false" outlineLevel="0" collapsed="false">
      <c r="A37" s="1"/>
      <c r="B37" s="35" t="s">
        <v>64</v>
      </c>
      <c r="C37" s="36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3.2" hidden="false" customHeight="false" outlineLevel="0" collapsed="false">
      <c r="A48" s="9"/>
      <c r="B48" s="10"/>
      <c r="C48" s="11"/>
      <c r="E48" s="20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3.2" hidden="false" customHeight="false" outlineLevel="0" collapsed="false">
      <c r="A49" s="23"/>
      <c r="B49" s="10"/>
      <c r="C49" s="11"/>
      <c r="E49" s="2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3.2" hidden="false" customHeight="false" outlineLevel="0" collapsed="false">
      <c r="A50" s="1"/>
      <c r="B50" s="1"/>
      <c r="C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3.2" hidden="false" customHeight="false" outlineLevel="0" collapsed="false">
      <c r="A51" s="1"/>
      <c r="B51" s="1"/>
      <c r="C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3.2" hidden="false" customHeight="false" outlineLevel="0" collapsed="false">
      <c r="A52" s="1"/>
      <c r="B52" s="35" t="s">
        <v>81</v>
      </c>
      <c r="C52" s="36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7500</v>
      </c>
      <c r="F60" s="1" t="s">
        <v>219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50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customFormat="false" ht="13.2" hidden="false" customHeight="false" outlineLevel="0" collapsed="false">
      <c r="A62" s="1"/>
      <c r="B62" s="1"/>
      <c r="C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customFormat="false" ht="13.2" hidden="false" customHeight="false" outlineLevel="0" collapsed="false">
      <c r="A63" s="1"/>
      <c r="B63" s="1"/>
      <c r="C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customFormat="false" ht="13.2" hidden="false" customHeight="false" outlineLevel="0" collapsed="false">
      <c r="A64" s="1"/>
      <c r="B64" s="35" t="s">
        <v>98</v>
      </c>
      <c r="C64" s="36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customFormat="false" ht="13.2" hidden="false" customHeight="false" outlineLevel="0" collapsed="false">
      <c r="A79" s="23" t="n">
        <v>15</v>
      </c>
      <c r="B79" s="64"/>
      <c r="C79" s="65"/>
      <c r="D79" s="66"/>
      <c r="E79" s="67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customFormat="false" ht="13.2" hidden="false" customHeight="false" outlineLevel="0" collapsed="false">
      <c r="A80" s="9" t="n">
        <v>16</v>
      </c>
      <c r="B80" s="64"/>
      <c r="C80" s="65"/>
      <c r="D80" s="66" t="s">
        <v>129</v>
      </c>
      <c r="E80" s="68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5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customFormat="false" ht="13.2" hidden="false" customHeight="false" outlineLevel="0" collapsed="false">
      <c r="A88" s="1"/>
      <c r="B88" s="1"/>
      <c r="C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customFormat="false" ht="13.2" hidden="false" customHeight="false" outlineLevel="0" collapsed="false">
      <c r="A89" s="1"/>
      <c r="B89" s="1"/>
      <c r="C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customFormat="false" ht="13.2" hidden="false" customHeight="false" outlineLevel="0" collapsed="false">
      <c r="A90" s="1"/>
      <c r="B90" s="52" t="s">
        <v>142</v>
      </c>
      <c r="C90" s="36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20" t="n">
        <v>10000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14" t="n">
        <v>10000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5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customFormat="false" ht="13.2" hidden="false" customHeight="false" outlineLevel="0" collapsed="false">
      <c r="A106" s="1"/>
      <c r="B106" s="1"/>
      <c r="C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customFormat="false" ht="13.2" hidden="false" customHeight="false" outlineLevel="0" collapsed="false">
      <c r="A107" s="1"/>
      <c r="B107" s="1"/>
      <c r="C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customFormat="false" ht="13.2" hidden="false" customHeight="false" outlineLevel="0" collapsed="false">
      <c r="A108" s="1"/>
      <c r="B108" s="1"/>
      <c r="C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/>
      <c r="F129" s="1" t="s">
        <v>220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57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customFormat="false" ht="13.2" hidden="false" customHeight="false" outlineLevel="0" collapsed="false">
      <c r="A132" s="1"/>
      <c r="B132" s="1"/>
      <c r="C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customFormat="false" ht="17.35" hidden="false" customHeight="false" outlineLevel="0" collapsed="false">
      <c r="A134" s="1"/>
      <c r="B134" s="1"/>
      <c r="C134" s="59" t="s">
        <v>211</v>
      </c>
      <c r="D134" s="69" t="n">
        <v>775000</v>
      </c>
      <c r="E134" s="51" t="n">
        <f aca="false">SUM(E3:E131)</f>
        <v>692500</v>
      </c>
      <c r="F134" s="61" t="n">
        <v>82500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customFormat="false" ht="17.35" hidden="false" customHeight="false" outlineLevel="0" collapsed="false">
      <c r="A135" s="1"/>
      <c r="B135" s="1"/>
      <c r="C135" s="59"/>
      <c r="E135" s="61"/>
      <c r="F135" s="6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customFormat="false" ht="17.35" hidden="false" customHeight="false" outlineLevel="0" collapsed="false">
      <c r="A136" s="1"/>
      <c r="B136" s="1"/>
      <c r="C136" s="59" t="s">
        <v>212</v>
      </c>
      <c r="D136" s="70" t="n">
        <v>38750</v>
      </c>
      <c r="E136" s="60"/>
      <c r="F136" s="6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customFormat="false" ht="17.35" hidden="false" customHeight="false" outlineLevel="0" collapsed="false">
      <c r="A137" s="1"/>
      <c r="B137" s="1"/>
      <c r="C137" s="59"/>
      <c r="E137" s="61"/>
      <c r="F137" s="6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customFormat="false" ht="17.35" hidden="false" customHeight="false" outlineLevel="0" collapsed="false">
      <c r="A138" s="1"/>
      <c r="B138" s="1"/>
      <c r="C138" s="59" t="s">
        <v>213</v>
      </c>
      <c r="D138" s="70" t="n">
        <v>736250</v>
      </c>
      <c r="E138" s="60"/>
      <c r="F138" s="6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8"/>
  <sheetViews>
    <sheetView showFormulas="false" showGridLines="true" showRowColHeaders="true" showZeros="true" rightToLeft="false" tabSelected="true" showOutlineSymbols="true" defaultGridColor="true" view="normal" topLeftCell="A78" colorId="64" zoomScale="120" zoomScaleNormal="120" zoomScalePageLayoutView="100" workbookViewId="0">
      <selection pane="topLeft" activeCell="D105" activeCellId="0" sqref="D105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41.76"/>
    <col collapsed="false" customWidth="true" hidden="false" outlineLevel="0" max="3" min="3" style="62" width="29.66"/>
    <col collapsed="false" customWidth="true" hidden="false" outlineLevel="0" max="4" min="4" style="62" width="24.44"/>
    <col collapsed="false" customWidth="true" hidden="false" outlineLevel="0" max="5" min="5" style="62" width="30"/>
    <col collapsed="false" customWidth="true" hidden="false" outlineLevel="0" max="6" min="6" style="62" width="32.11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 t="n">
        <v>5000</v>
      </c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19" t="n">
        <v>5000</v>
      </c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20" t="n">
        <v>5000</v>
      </c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20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34" t="n">
        <f aca="false">SUM(E3:E34)</f>
        <v>173500</v>
      </c>
      <c r="F35" s="1"/>
    </row>
    <row r="36" customFormat="false" ht="13.2" hidden="false" customHeight="false" outlineLevel="0" collapsed="false">
      <c r="A36" s="1"/>
      <c r="B36" s="1"/>
      <c r="C36" s="1"/>
      <c r="E36" s="1"/>
      <c r="F36" s="1"/>
    </row>
    <row r="37" customFormat="false" ht="13.2" hidden="false" customHeight="false" outlineLevel="0" collapsed="false">
      <c r="A37" s="1"/>
      <c r="B37" s="35" t="s">
        <v>64</v>
      </c>
      <c r="C37" s="36"/>
      <c r="E37" s="13"/>
      <c r="F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71" t="n">
        <v>5000</v>
      </c>
      <c r="F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71" t="n">
        <v>5000</v>
      </c>
      <c r="F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  <c r="F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  <c r="F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71" t="n">
        <v>5000</v>
      </c>
      <c r="F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  <c r="F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72" t="n">
        <v>5000</v>
      </c>
      <c r="F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  <c r="F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  <c r="F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 t="n">
        <f aca="false">SUM(E38:E46)</f>
        <v>48500</v>
      </c>
      <c r="F47" s="1"/>
    </row>
    <row r="48" customFormat="false" ht="13.2" hidden="false" customHeight="false" outlineLevel="0" collapsed="false">
      <c r="A48" s="9"/>
      <c r="B48" s="10"/>
      <c r="C48" s="11"/>
      <c r="E48" s="20"/>
      <c r="F48" s="1"/>
    </row>
    <row r="49" customFormat="false" ht="13.2" hidden="false" customHeight="false" outlineLevel="0" collapsed="false">
      <c r="A49" s="23"/>
      <c r="B49" s="10"/>
      <c r="C49" s="11"/>
      <c r="E49" s="20"/>
      <c r="F49" s="1"/>
    </row>
    <row r="50" customFormat="false" ht="13.2" hidden="false" customHeight="false" outlineLevel="0" collapsed="false">
      <c r="A50" s="1"/>
      <c r="B50" s="1"/>
      <c r="C50" s="1"/>
      <c r="E50" s="1"/>
      <c r="F50" s="1"/>
    </row>
    <row r="51" customFormat="false" ht="13.2" hidden="false" customHeight="false" outlineLevel="0" collapsed="false">
      <c r="A51" s="1"/>
      <c r="B51" s="1"/>
      <c r="C51" s="1"/>
      <c r="E51" s="1"/>
      <c r="F51" s="1"/>
    </row>
    <row r="52" customFormat="false" ht="13.2" hidden="false" customHeight="false" outlineLevel="0" collapsed="false">
      <c r="A52" s="1"/>
      <c r="B52" s="35" t="s">
        <v>81</v>
      </c>
      <c r="C52" s="36"/>
      <c r="E52" s="13"/>
      <c r="F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  <c r="F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  <c r="F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  <c r="F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71" t="n">
        <v>5000</v>
      </c>
      <c r="F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71" t="n">
        <v>5000</v>
      </c>
      <c r="F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  <c r="F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71" t="n">
        <v>5000</v>
      </c>
      <c r="F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8500</v>
      </c>
      <c r="F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50" t="n">
        <f aca="false">SUM(E53:E60)</f>
        <v>47000</v>
      </c>
      <c r="F61" s="1"/>
    </row>
    <row r="62" customFormat="false" ht="13.2" hidden="false" customHeight="false" outlineLevel="0" collapsed="false">
      <c r="A62" s="1"/>
      <c r="B62" s="1"/>
      <c r="C62" s="1"/>
      <c r="E62" s="1"/>
      <c r="F62" s="1"/>
    </row>
    <row r="63" customFormat="false" ht="13.2" hidden="false" customHeight="false" outlineLevel="0" collapsed="false">
      <c r="A63" s="1"/>
      <c r="B63" s="1"/>
      <c r="C63" s="1"/>
      <c r="E63" s="1"/>
      <c r="F63" s="1"/>
    </row>
    <row r="64" customFormat="false" ht="13.2" hidden="false" customHeight="false" outlineLevel="0" collapsed="false">
      <c r="A64" s="1"/>
      <c r="B64" s="35" t="s">
        <v>98</v>
      </c>
      <c r="C64" s="36"/>
      <c r="E64" s="13"/>
      <c r="F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71" t="n">
        <v>5000</v>
      </c>
      <c r="F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71" t="n">
        <v>5000</v>
      </c>
      <c r="F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73" t="n">
        <v>5000</v>
      </c>
      <c r="F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  <c r="F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  <c r="F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  <c r="F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  <c r="F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71" t="n">
        <v>5000</v>
      </c>
      <c r="F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74" t="n">
        <v>5000</v>
      </c>
      <c r="F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  <c r="F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  <c r="F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75" t="n">
        <v>5000</v>
      </c>
      <c r="F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71" t="n">
        <v>5000</v>
      </c>
      <c r="F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71" t="n">
        <v>5000</v>
      </c>
      <c r="F78" s="1"/>
    </row>
    <row r="79" customFormat="false" ht="13.2" hidden="false" customHeight="false" outlineLevel="0" collapsed="false">
      <c r="A79" s="23" t="n">
        <v>15</v>
      </c>
      <c r="B79" s="24"/>
      <c r="C79" s="25"/>
      <c r="D79" s="26"/>
      <c r="E79" s="75"/>
      <c r="F79" s="1"/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13"/>
      <c r="F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71" t="n">
        <v>5000</v>
      </c>
      <c r="F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  <c r="F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71" t="n">
        <v>5000</v>
      </c>
      <c r="F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  <c r="F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  <c r="F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71" t="n">
        <v>5000</v>
      </c>
      <c r="F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51" t="n">
        <f aca="false">SUM(E65:E86)</f>
        <v>107000</v>
      </c>
      <c r="F87" s="1"/>
    </row>
    <row r="88" customFormat="false" ht="13.2" hidden="false" customHeight="false" outlineLevel="0" collapsed="false">
      <c r="A88" s="1"/>
      <c r="B88" s="1"/>
      <c r="C88" s="1"/>
      <c r="E88" s="1"/>
      <c r="F88" s="1"/>
    </row>
    <row r="89" customFormat="false" ht="13.2" hidden="false" customHeight="false" outlineLevel="0" collapsed="false">
      <c r="A89" s="1"/>
      <c r="B89" s="1"/>
      <c r="C89" s="1"/>
      <c r="E89" s="1"/>
      <c r="F89" s="1"/>
    </row>
    <row r="90" customFormat="false" ht="13.2" hidden="false" customHeight="false" outlineLevel="0" collapsed="false">
      <c r="A90" s="1"/>
      <c r="B90" s="52" t="s">
        <v>142</v>
      </c>
      <c r="C90" s="36"/>
      <c r="E90" s="13"/>
      <c r="F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20" t="n">
        <v>10000</v>
      </c>
      <c r="F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  <c r="F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  <c r="F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  <c r="F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  <c r="F95" s="1"/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  <c r="F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  <c r="F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  <c r="F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  <c r="F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  <c r="F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  <c r="F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14" t="n">
        <v>10000</v>
      </c>
      <c r="F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  <c r="F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  <c r="F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51" t="n">
        <f aca="false">SUM(E91:E104)</f>
        <v>154000</v>
      </c>
      <c r="F105" s="1"/>
    </row>
    <row r="106" customFormat="false" ht="13.2" hidden="false" customHeight="false" outlineLevel="0" collapsed="false">
      <c r="A106" s="1"/>
      <c r="B106" s="1"/>
      <c r="C106" s="1"/>
      <c r="E106" s="1"/>
      <c r="F106" s="1"/>
    </row>
    <row r="107" customFormat="false" ht="13.2" hidden="false" customHeight="false" outlineLevel="0" collapsed="false">
      <c r="A107" s="1"/>
      <c r="B107" s="1"/>
      <c r="C107" s="1"/>
      <c r="E107" s="1"/>
      <c r="F107" s="1"/>
    </row>
    <row r="108" customFormat="false" ht="13.2" hidden="false" customHeight="false" outlineLevel="0" collapsed="false">
      <c r="A108" s="1"/>
      <c r="B108" s="1"/>
      <c r="C108" s="1"/>
      <c r="E108" s="1"/>
      <c r="F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13"/>
      <c r="F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  <c r="F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  <c r="F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  <c r="F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  <c r="F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  <c r="F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  <c r="F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  <c r="F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  <c r="F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  <c r="F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  <c r="F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 t="n">
        <v>11000</v>
      </c>
      <c r="F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  <c r="F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  <c r="F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/>
    </row>
    <row r="124" customFormat="false" ht="13.2" hidden="false" customHeight="false" outlineLevel="0" collapsed="false">
      <c r="A124" s="9" t="n">
        <v>15</v>
      </c>
      <c r="B124" s="10" t="s">
        <v>221</v>
      </c>
      <c r="C124" s="11" t="n">
        <v>740808927</v>
      </c>
      <c r="D124" s="12" t="n">
        <v>11000</v>
      </c>
      <c r="E124" s="20" t="n">
        <v>11000</v>
      </c>
      <c r="F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  <c r="F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  <c r="F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  <c r="F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  <c r="F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 t="n">
        <v>11000</v>
      </c>
      <c r="F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  <c r="F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57" t="n">
        <f aca="false">SUM(E110:E130)</f>
        <v>245000</v>
      </c>
      <c r="F131" s="1"/>
    </row>
    <row r="132" customFormat="false" ht="13.2" hidden="false" customHeight="false" outlineLevel="0" collapsed="false">
      <c r="A132" s="1"/>
      <c r="B132" s="1"/>
      <c r="C132" s="1"/>
      <c r="E132" s="1"/>
      <c r="F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</row>
    <row r="134" customFormat="false" ht="17.35" hidden="false" customHeight="false" outlineLevel="0" collapsed="false">
      <c r="A134" s="1"/>
      <c r="B134" s="1"/>
      <c r="C134" s="59" t="s">
        <v>211</v>
      </c>
      <c r="D134" s="76" t="n">
        <v>775000</v>
      </c>
      <c r="E134" s="77" t="n">
        <v>775000</v>
      </c>
      <c r="F134" s="61"/>
    </row>
    <row r="135" customFormat="false" ht="17.35" hidden="false" customHeight="false" outlineLevel="0" collapsed="false">
      <c r="A135" s="1"/>
      <c r="B135" s="1"/>
      <c r="C135" s="59"/>
      <c r="E135" s="61"/>
      <c r="F135" s="61"/>
    </row>
    <row r="136" customFormat="false" ht="17.35" hidden="false" customHeight="false" outlineLevel="0" collapsed="false">
      <c r="A136" s="1"/>
      <c r="B136" s="1"/>
      <c r="C136" s="59" t="s">
        <v>212</v>
      </c>
      <c r="E136" s="78" t="n">
        <v>38750</v>
      </c>
      <c r="F136" s="61"/>
    </row>
    <row r="137" customFormat="false" ht="17.35" hidden="false" customHeight="false" outlineLevel="0" collapsed="false">
      <c r="A137" s="1"/>
      <c r="B137" s="1"/>
      <c r="C137" s="59"/>
      <c r="E137" s="61"/>
      <c r="F137" s="61"/>
    </row>
    <row r="138" customFormat="false" ht="17.35" hidden="false" customHeight="false" outlineLevel="0" collapsed="false">
      <c r="A138" s="1"/>
      <c r="B138" s="1"/>
      <c r="C138" s="59" t="s">
        <v>213</v>
      </c>
      <c r="E138" s="78" t="n">
        <v>736250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2025-07-01T09:17:46Z</dcterms:created>
  <dc:creator>Curtis Darzee Odhiambo</dc:creator>
  <dc:description/>
  <dc:language>en-US</dc:language>
  <cp:lastModifiedBy>Curtis Darzee Odhiambo</cp:lastModifiedBy>
  <cp:lastPrinted>2025-07-01T11:08:51Z</cp:lastPrinted>
  <dcterms:modified xsi:type="dcterms:W3CDTF">2025-07-16T13:58:57Z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